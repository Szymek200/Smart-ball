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repos\Smart-ball\Smart-ball\Prezentacja\"/>
    </mc:Choice>
  </mc:AlternateContent>
  <xr:revisionPtr revIDLastSave="0" documentId="13_ncr:1_{3152BC02-CC6D-407F-80EB-F3A336AECEFC}" xr6:coauthVersionLast="47" xr6:coauthVersionMax="47" xr10:uidLastSave="{00000000-0000-0000-0000-000000000000}"/>
  <bookViews>
    <workbookView xWindow="-108" yWindow="-108" windowWidth="23256" windowHeight="12456" activeTab="4" xr2:uid="{AF2B4A17-A240-4721-B0BB-747C3BBE492A}"/>
  </bookViews>
  <sheets>
    <sheet name="Wymagania" sheetId="1" r:id="rId1"/>
    <sheet name="akcelerometr" sheetId="2" r:id="rId2"/>
    <sheet name="Zyroskop" sheetId="3" r:id="rId3"/>
    <sheet name="zyros_porow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" l="1"/>
  <c r="K16" i="3"/>
  <c r="K17" i="3"/>
  <c r="K14" i="3"/>
  <c r="J15" i="3"/>
  <c r="J16" i="3"/>
  <c r="J17" i="3"/>
  <c r="J14" i="3"/>
  <c r="G14" i="1"/>
  <c r="H15" i="1"/>
  <c r="H16" i="1"/>
  <c r="H17" i="1"/>
  <c r="H14" i="1"/>
  <c r="G15" i="1"/>
  <c r="G16" i="1"/>
  <c r="G17" i="1"/>
</calcChain>
</file>

<file path=xl/sharedStrings.xml><?xml version="1.0" encoding="utf-8"?>
<sst xmlns="http://schemas.openxmlformats.org/spreadsheetml/2006/main" count="149" uniqueCount="110">
  <si>
    <t>Piłka ręczna</t>
  </si>
  <si>
    <t>Piłka nożna</t>
  </si>
  <si>
    <t>Siatkówka</t>
  </si>
  <si>
    <t>Masa piłki [kg]</t>
  </si>
  <si>
    <t>Czas uderzenia [s]</t>
  </si>
  <si>
    <t>Szybkość serwisu/uderzenia [m/s]</t>
  </si>
  <si>
    <t>Maks przyśpieszenie [g]</t>
  </si>
  <si>
    <t>Bandwidth [Hz]</t>
  </si>
  <si>
    <t>Piłka koszykowa</t>
  </si>
  <si>
    <t>Smart ball</t>
  </si>
  <si>
    <t>Czujniki</t>
  </si>
  <si>
    <t>ADXL 373</t>
  </si>
  <si>
    <t>H3LIS331DL</t>
  </si>
  <si>
    <t>Skala pomiarowa</t>
  </si>
  <si>
    <t>ODR</t>
  </si>
  <si>
    <t>0,5 Hz - 1 kHz</t>
  </si>
  <si>
    <t>Zakres temp.</t>
  </si>
  <si>
    <t>-40 to +85</t>
  </si>
  <si>
    <t>Zasilanie</t>
  </si>
  <si>
    <t>2.16 V to 3.6 V</t>
  </si>
  <si>
    <t>Tryb oszczedny</t>
  </si>
  <si>
    <t>7 μA</t>
  </si>
  <si>
    <t>Wytrzymałość na uderzenia</t>
  </si>
  <si>
    <t>10000g</t>
  </si>
  <si>
    <t>400g</t>
  </si>
  <si>
    <t>100/200/400g</t>
  </si>
  <si>
    <t>160 Hz - 2560 Hz</t>
  </si>
  <si>
    <t>1.6 V to 3.5 V</t>
  </si>
  <si>
    <t>−40°C to +105°C</t>
  </si>
  <si>
    <t>19 μA</t>
  </si>
  <si>
    <t>Rozdzielczość danych wyjściowych</t>
  </si>
  <si>
    <t>12 bit</t>
  </si>
  <si>
    <t>Współczynnik skali</t>
  </si>
  <si>
    <t>200 mg/LSB</t>
  </si>
  <si>
    <t>195 mg/LSB</t>
  </si>
  <si>
    <t>Interfejsy</t>
  </si>
  <si>
    <t>I2C</t>
  </si>
  <si>
    <t>SPI</t>
  </si>
  <si>
    <t>10 MHz</t>
  </si>
  <si>
    <t>3,4 MHz</t>
  </si>
  <si>
    <t>400 kHz</t>
  </si>
  <si>
    <t>Urzadzenie</t>
  </si>
  <si>
    <t>I3G4250DTR</t>
  </si>
  <si>
    <t>IAM-20380HT</t>
  </si>
  <si>
    <t>Maks. Zakres FSR</t>
  </si>
  <si>
    <t>Rozdzielczość ADCs</t>
  </si>
  <si>
    <t>16 bit</t>
  </si>
  <si>
    <t>Odpornosc na wstrzasy</t>
  </si>
  <si>
    <t>±245/±500/±2000g</t>
  </si>
  <si>
    <t>promień [m]</t>
  </si>
  <si>
    <t>obroty na sek</t>
  </si>
  <si>
    <t>rad/s</t>
  </si>
  <si>
    <t>o/s</t>
  </si>
  <si>
    <t>a = v/t</t>
  </si>
  <si>
    <t xml:space="preserve">Cena: </t>
  </si>
  <si>
    <t>Evaluation board</t>
  </si>
  <si>
    <t>Chip</t>
  </si>
  <si>
    <t>36 $</t>
  </si>
  <si>
    <t>18 $</t>
  </si>
  <si>
    <t>11 $</t>
  </si>
  <si>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charset val="238"/>
        <scheme val="minor"/>
      </rPr>
      <t>/s</t>
    </r>
  </si>
  <si>
    <t>Zakres temperatur</t>
  </si>
  <si>
    <t>-40°C to +105°C</t>
  </si>
  <si>
    <t>±250dps, ±500dps, ±1000dps, and ±2000dps,</t>
  </si>
  <si>
    <t>1,71V to  3,6V</t>
  </si>
  <si>
    <t>Rozmiar kolejki</t>
  </si>
  <si>
    <t>4096-byte FIFO</t>
  </si>
  <si>
    <t>Dodatkowe cechy</t>
  </si>
  <si>
    <t>termometr</t>
  </si>
  <si>
    <t>2,4 V to 3,6V</t>
  </si>
  <si>
    <t>-40°C to +85°C</t>
  </si>
  <si>
    <t>Interfejsy cyfrowe</t>
  </si>
  <si>
    <t>8 MHz</t>
  </si>
  <si>
    <t>Filtry</t>
  </si>
  <si>
    <t>dolnoprzepustowy</t>
  </si>
  <si>
    <t>górnoprzepustowy</t>
  </si>
  <si>
    <t>brak</t>
  </si>
  <si>
    <t>programowalny, cyfrowy</t>
  </si>
  <si>
    <t>Cena:</t>
  </si>
  <si>
    <t>33 $</t>
  </si>
  <si>
    <t>9 $</t>
  </si>
  <si>
    <t>13 $</t>
  </si>
  <si>
    <t>192-byte FIFO</t>
  </si>
  <si>
    <t>Esp 32-WROOM-32EU</t>
  </si>
  <si>
    <t>Procesor</t>
  </si>
  <si>
    <t>Xtensa® dual-core 32-bit LX6 microprocessor</t>
  </si>
  <si>
    <t>Arm® Cortex®-M4F (z FPU)</t>
  </si>
  <si>
    <t>Czestotliwosc</t>
  </si>
  <si>
    <t>240 MHz</t>
  </si>
  <si>
    <t>64 MHz</t>
  </si>
  <si>
    <t>Flash</t>
  </si>
  <si>
    <t>4 - 16 MB</t>
  </si>
  <si>
    <t>1 MB</t>
  </si>
  <si>
    <t>RAM</t>
  </si>
  <si>
    <t>256 kB</t>
  </si>
  <si>
    <t>Łączność</t>
  </si>
  <si>
    <t>Wifi</t>
  </si>
  <si>
    <t>802.11b/g/n (do 150 Mbps)</t>
  </si>
  <si>
    <t>Bluetooth</t>
  </si>
  <si>
    <t>Bluetooth V4.2 BR/EDR i Bluetooth LE</t>
  </si>
  <si>
    <t>Bluetooth 5</t>
  </si>
  <si>
    <t>Wyjścia GPIO</t>
  </si>
  <si>
    <t>SD card, UART, SPI, SDIO, I2C, PWM, I2S, IR, TWAI® (CAN)</t>
  </si>
  <si>
    <t>Full-speed 12 Mbps USB, QSPI/SPI/TWI/I²S/PDM/QDEC</t>
  </si>
  <si>
    <t>Dodatkowe elementy</t>
  </si>
  <si>
    <t>Akcelererometr - do 16g</t>
  </si>
  <si>
    <t>Żyroskop - 2000 dps</t>
  </si>
  <si>
    <t>Magnetometr 3 osiowy</t>
  </si>
  <si>
    <t>Nano 33 BLE Rev2*</t>
  </si>
  <si>
    <t>520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</si>
</sst>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/>
    <xf numFmtId="0" fontId="3" fillId="0" borderId="1" xfId="0" applyFont="1" applyBorder="1"/>
    <xf numFmtId="49" fontId="0" fillId="0" borderId="0" xfId="0" applyNumberFormat="1"/>
    <xf numFmtId="0" fontId="1" fillId="0" borderId="1" xfId="0" applyFont="1" applyBorder="1"/>
    <xf numFmtId="49" fontId="0" fillId="0" borderId="1" xfId="0" applyNumberFormat="1" applyBorder="1" applyAlignment="1">
      <alignment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BB1D-D063-408A-8752-1E45D5CB4519}">
  <dimension ref="B4:J21"/>
  <sheetViews>
    <sheetView workbookViewId="0">
      <selection activeCell="D4" sqref="D4:H8"/>
    </sheetView>
  </sheetViews>
  <sheetFormatPr defaultRowHeight="14.4" x14ac:dyDescent="0.3"/>
  <cols>
    <col min="3" max="3" width="15.5546875" customWidth="1"/>
    <col min="4" max="4" width="12.109375" bestFit="1" customWidth="1"/>
    <col min="5" max="5" width="17.88671875" customWidth="1"/>
    <col min="6" max="6" width="33" customWidth="1"/>
    <col min="7" max="7" width="21.88671875" customWidth="1"/>
    <col min="8" max="8" width="13.6640625" customWidth="1"/>
  </cols>
  <sheetData>
    <row r="4" spans="2:10" x14ac:dyDescent="0.3">
      <c r="C4" s="1"/>
      <c r="D4" s="1"/>
      <c r="E4" s="1" t="s">
        <v>4</v>
      </c>
      <c r="F4" s="1" t="s">
        <v>5</v>
      </c>
      <c r="G4" s="1" t="s">
        <v>6</v>
      </c>
      <c r="H4" s="1" t="s">
        <v>7</v>
      </c>
    </row>
    <row r="5" spans="2:10" x14ac:dyDescent="0.3">
      <c r="D5" s="1" t="s">
        <v>2</v>
      </c>
      <c r="E5" s="1">
        <v>5.0000000000000001E-3</v>
      </c>
      <c r="F5" s="1">
        <v>15</v>
      </c>
      <c r="G5" s="1">
        <v>300</v>
      </c>
      <c r="H5" s="1">
        <v>100</v>
      </c>
    </row>
    <row r="6" spans="2:10" x14ac:dyDescent="0.3">
      <c r="D6" s="1" t="s">
        <v>8</v>
      </c>
      <c r="E6" s="1">
        <v>8.0000000000000002E-3</v>
      </c>
      <c r="F6" s="1">
        <v>12</v>
      </c>
      <c r="G6" s="1">
        <v>150</v>
      </c>
      <c r="H6" s="1">
        <v>62</v>
      </c>
    </row>
    <row r="7" spans="2:10" x14ac:dyDescent="0.3">
      <c r="D7" s="1" t="s">
        <v>1</v>
      </c>
      <c r="E7" s="1">
        <v>0.01</v>
      </c>
      <c r="F7" s="1">
        <v>30</v>
      </c>
      <c r="G7" s="1">
        <v>300</v>
      </c>
      <c r="H7" s="1">
        <v>50</v>
      </c>
    </row>
    <row r="8" spans="2:10" x14ac:dyDescent="0.3">
      <c r="D8" s="1" t="s">
        <v>0</v>
      </c>
      <c r="E8" s="1">
        <v>3.0000000000000001E-3</v>
      </c>
      <c r="F8" s="1">
        <v>25</v>
      </c>
      <c r="G8" s="1">
        <v>850</v>
      </c>
      <c r="H8" s="1">
        <v>170</v>
      </c>
    </row>
    <row r="9" spans="2:10" x14ac:dyDescent="0.3">
      <c r="B9" s="3"/>
      <c r="C9" s="3"/>
      <c r="D9" s="3"/>
      <c r="E9" s="3"/>
      <c r="F9" s="3"/>
      <c r="G9" s="3"/>
      <c r="H9" s="3"/>
      <c r="I9" s="3"/>
      <c r="J9" s="3"/>
    </row>
    <row r="10" spans="2:10" x14ac:dyDescent="0.3">
      <c r="B10" s="3"/>
      <c r="C10" s="3"/>
      <c r="D10" s="3"/>
      <c r="E10" s="3"/>
      <c r="F10" s="3"/>
      <c r="G10" s="3"/>
      <c r="H10" s="3"/>
      <c r="I10" s="3"/>
      <c r="J10" s="3"/>
    </row>
    <row r="11" spans="2:10" x14ac:dyDescent="0.3">
      <c r="B11" s="3"/>
      <c r="C11" s="3"/>
      <c r="D11" s="3"/>
      <c r="E11" s="3"/>
      <c r="F11" s="3"/>
      <c r="G11" s="3"/>
      <c r="H11" s="3"/>
      <c r="I11" s="3"/>
      <c r="J11" s="3"/>
    </row>
    <row r="12" spans="2:10" x14ac:dyDescent="0.3">
      <c r="B12" s="3"/>
      <c r="C12" s="3"/>
      <c r="D12" s="3"/>
      <c r="E12" s="3"/>
      <c r="F12" s="3"/>
      <c r="G12" s="3"/>
      <c r="H12" s="3"/>
      <c r="I12" s="3"/>
      <c r="J12" s="3"/>
    </row>
    <row r="13" spans="2:10" x14ac:dyDescent="0.3">
      <c r="C13" s="1"/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</row>
    <row r="14" spans="2:10" x14ac:dyDescent="0.3">
      <c r="C14" s="1" t="s">
        <v>2</v>
      </c>
      <c r="D14" s="1">
        <v>0.27</v>
      </c>
      <c r="E14" s="1">
        <v>5.0000000000000001E-3</v>
      </c>
      <c r="F14" s="1">
        <v>15</v>
      </c>
      <c r="G14" s="1">
        <f>(F14/E14)/9.81</f>
        <v>305.81039755351679</v>
      </c>
      <c r="H14" s="1">
        <f>1/(2*E14)</f>
        <v>100</v>
      </c>
    </row>
    <row r="15" spans="2:10" x14ac:dyDescent="0.3">
      <c r="C15" s="1" t="s">
        <v>8</v>
      </c>
      <c r="D15" s="1">
        <v>0.62</v>
      </c>
      <c r="E15" s="1">
        <v>8.0000000000000002E-3</v>
      </c>
      <c r="F15" s="1">
        <v>12</v>
      </c>
      <c r="G15" s="1">
        <f t="shared" ref="G15:G17" si="0">(F15/E15)/9.81</f>
        <v>152.9051987767584</v>
      </c>
      <c r="H15" s="1">
        <f t="shared" ref="H15:H17" si="1">1/(2*E15)</f>
        <v>62.5</v>
      </c>
    </row>
    <row r="16" spans="2:10" x14ac:dyDescent="0.3">
      <c r="C16" s="1" t="s">
        <v>1</v>
      </c>
      <c r="D16" s="1">
        <v>0.43</v>
      </c>
      <c r="E16" s="1">
        <v>0.01</v>
      </c>
      <c r="F16" s="1">
        <v>30</v>
      </c>
      <c r="G16" s="1">
        <f t="shared" si="0"/>
        <v>305.81039755351679</v>
      </c>
      <c r="H16" s="1">
        <f t="shared" si="1"/>
        <v>50</v>
      </c>
    </row>
    <row r="17" spans="3:8" x14ac:dyDescent="0.3">
      <c r="C17" s="1" t="s">
        <v>0</v>
      </c>
      <c r="D17" s="1">
        <v>0.45</v>
      </c>
      <c r="E17" s="1">
        <v>3.0000000000000001E-3</v>
      </c>
      <c r="F17" s="1">
        <v>25</v>
      </c>
      <c r="G17" s="1">
        <f t="shared" si="0"/>
        <v>849.47332653754677</v>
      </c>
      <c r="H17" s="1">
        <f t="shared" si="1"/>
        <v>166.66666666666666</v>
      </c>
    </row>
    <row r="21" spans="3:8" x14ac:dyDescent="0.3">
      <c r="F2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9C86-E21C-4BA6-A5B4-5589FC5579C2}">
  <dimension ref="D4:I19"/>
  <sheetViews>
    <sheetView workbookViewId="0">
      <selection activeCell="G4" sqref="G4:I18"/>
    </sheetView>
  </sheetViews>
  <sheetFormatPr defaultRowHeight="14.4" x14ac:dyDescent="0.3"/>
  <cols>
    <col min="4" max="4" width="14.21875" customWidth="1"/>
    <col min="5" max="5" width="15.21875" customWidth="1"/>
    <col min="7" max="7" width="14.88671875" customWidth="1"/>
    <col min="8" max="8" width="17" customWidth="1"/>
    <col min="9" max="9" width="15.21875" customWidth="1"/>
  </cols>
  <sheetData>
    <row r="4" spans="4:9" x14ac:dyDescent="0.3">
      <c r="D4" t="s">
        <v>10</v>
      </c>
      <c r="G4" s="1"/>
      <c r="H4" s="1" t="s">
        <v>12</v>
      </c>
      <c r="I4" s="1" t="s">
        <v>11</v>
      </c>
    </row>
    <row r="5" spans="4:9" x14ac:dyDescent="0.3">
      <c r="G5" s="4" t="s">
        <v>13</v>
      </c>
      <c r="H5" s="1" t="s">
        <v>25</v>
      </c>
      <c r="I5" s="1" t="s">
        <v>24</v>
      </c>
    </row>
    <row r="6" spans="4:9" x14ac:dyDescent="0.3">
      <c r="G6" s="4" t="s">
        <v>14</v>
      </c>
      <c r="H6" s="1" t="s">
        <v>15</v>
      </c>
      <c r="I6" s="1" t="s">
        <v>26</v>
      </c>
    </row>
    <row r="7" spans="4:9" x14ac:dyDescent="0.3">
      <c r="G7" s="4" t="s">
        <v>16</v>
      </c>
      <c r="H7" s="1" t="s">
        <v>17</v>
      </c>
      <c r="I7" s="1" t="s">
        <v>28</v>
      </c>
    </row>
    <row r="8" spans="4:9" x14ac:dyDescent="0.3">
      <c r="G8" s="4" t="s">
        <v>18</v>
      </c>
      <c r="H8" s="1" t="s">
        <v>19</v>
      </c>
      <c r="I8" s="1" t="s">
        <v>27</v>
      </c>
    </row>
    <row r="9" spans="4:9" ht="21" customHeight="1" x14ac:dyDescent="0.3">
      <c r="G9" s="4" t="s">
        <v>20</v>
      </c>
      <c r="H9" s="1" t="s">
        <v>21</v>
      </c>
      <c r="I9" s="1" t="s">
        <v>29</v>
      </c>
    </row>
    <row r="10" spans="4:9" ht="37.200000000000003" customHeight="1" x14ac:dyDescent="0.3">
      <c r="G10" s="4" t="s">
        <v>22</v>
      </c>
      <c r="H10" s="1" t="s">
        <v>23</v>
      </c>
      <c r="I10" s="1" t="s">
        <v>23</v>
      </c>
    </row>
    <row r="11" spans="4:9" ht="43.2" x14ac:dyDescent="0.3">
      <c r="G11" s="4" t="s">
        <v>30</v>
      </c>
      <c r="H11" s="1" t="s">
        <v>31</v>
      </c>
      <c r="I11" s="1" t="s">
        <v>31</v>
      </c>
    </row>
    <row r="12" spans="4:9" ht="28.8" x14ac:dyDescent="0.3">
      <c r="G12" s="4" t="s">
        <v>32</v>
      </c>
      <c r="H12" s="1" t="s">
        <v>34</v>
      </c>
      <c r="I12" s="1" t="s">
        <v>33</v>
      </c>
    </row>
    <row r="13" spans="4:9" x14ac:dyDescent="0.3">
      <c r="G13" s="5" t="s">
        <v>35</v>
      </c>
      <c r="H13" s="5"/>
      <c r="I13" s="5"/>
    </row>
    <row r="14" spans="4:9" x14ac:dyDescent="0.3">
      <c r="G14" s="4" t="s">
        <v>36</v>
      </c>
      <c r="H14" s="1" t="s">
        <v>40</v>
      </c>
      <c r="I14" s="1" t="s">
        <v>39</v>
      </c>
    </row>
    <row r="15" spans="4:9" x14ac:dyDescent="0.3">
      <c r="G15" s="4" t="s">
        <v>37</v>
      </c>
      <c r="H15" s="1" t="s">
        <v>38</v>
      </c>
      <c r="I15" s="1" t="s">
        <v>38</v>
      </c>
    </row>
    <row r="16" spans="4:9" ht="14.4" customHeight="1" x14ac:dyDescent="0.3">
      <c r="G16" s="5" t="s">
        <v>54</v>
      </c>
      <c r="H16" s="5"/>
      <c r="I16" s="5"/>
    </row>
    <row r="17" spans="7:9" ht="32.4" customHeight="1" x14ac:dyDescent="0.3">
      <c r="G17" s="4" t="s">
        <v>55</v>
      </c>
      <c r="H17" s="1" t="s">
        <v>58</v>
      </c>
      <c r="I17" s="1" t="s">
        <v>57</v>
      </c>
    </row>
    <row r="18" spans="7:9" x14ac:dyDescent="0.3">
      <c r="G18" s="4" t="s">
        <v>56</v>
      </c>
      <c r="H18" s="1" t="s">
        <v>59</v>
      </c>
      <c r="I18" s="1" t="s">
        <v>58</v>
      </c>
    </row>
    <row r="19" spans="7:9" x14ac:dyDescent="0.3">
      <c r="G19" s="2"/>
    </row>
  </sheetData>
  <mergeCells count="2">
    <mergeCell ref="G13:I13"/>
    <mergeCell ref="G16:I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8BD1-DE84-4114-85B1-FB9C76AD95C4}">
  <dimension ref="G3:K19"/>
  <sheetViews>
    <sheetView workbookViewId="0">
      <selection activeCell="H3" sqref="H3:K7"/>
    </sheetView>
  </sheetViews>
  <sheetFormatPr defaultRowHeight="14.4" x14ac:dyDescent="0.3"/>
  <cols>
    <col min="7" max="7" width="23.44140625" customWidth="1"/>
    <col min="8" max="9" width="13.33203125" customWidth="1"/>
    <col min="10" max="10" width="15.44140625" customWidth="1"/>
  </cols>
  <sheetData>
    <row r="3" spans="7:11" ht="16.2" x14ac:dyDescent="0.3">
      <c r="G3" s="1"/>
      <c r="H3" s="1"/>
      <c r="I3" s="1" t="s">
        <v>50</v>
      </c>
      <c r="J3" s="1" t="s">
        <v>51</v>
      </c>
      <c r="K3" s="10" t="s">
        <v>60</v>
      </c>
    </row>
    <row r="4" spans="7:11" x14ac:dyDescent="0.3">
      <c r="H4" s="1" t="s">
        <v>2</v>
      </c>
      <c r="I4" s="1">
        <v>20</v>
      </c>
      <c r="J4" s="1">
        <v>125.7</v>
      </c>
      <c r="K4" s="1">
        <v>7200</v>
      </c>
    </row>
    <row r="5" spans="7:11" x14ac:dyDescent="0.3">
      <c r="H5" s="1" t="s">
        <v>8</v>
      </c>
      <c r="I5" s="1">
        <v>6</v>
      </c>
      <c r="J5" s="1">
        <v>37.700000000000003</v>
      </c>
      <c r="K5" s="1">
        <v>2160</v>
      </c>
    </row>
    <row r="6" spans="7:11" x14ac:dyDescent="0.3">
      <c r="H6" s="1" t="s">
        <v>1</v>
      </c>
      <c r="I6" s="1">
        <v>8</v>
      </c>
      <c r="J6" s="1">
        <v>50.3</v>
      </c>
      <c r="K6" s="1">
        <v>2880</v>
      </c>
    </row>
    <row r="7" spans="7:11" x14ac:dyDescent="0.3">
      <c r="H7" s="1" t="s">
        <v>0</v>
      </c>
      <c r="I7" s="1">
        <v>18</v>
      </c>
      <c r="J7" s="1">
        <v>113.1</v>
      </c>
      <c r="K7" s="1">
        <v>6480</v>
      </c>
    </row>
    <row r="8" spans="7:11" x14ac:dyDescent="0.3">
      <c r="G8" s="1" t="s">
        <v>9</v>
      </c>
      <c r="H8" s="9"/>
    </row>
    <row r="9" spans="7:11" x14ac:dyDescent="0.3">
      <c r="G9" s="2"/>
    </row>
    <row r="10" spans="7:11" x14ac:dyDescent="0.3">
      <c r="G10" s="2"/>
    </row>
    <row r="11" spans="7:11" x14ac:dyDescent="0.3">
      <c r="G11" s="2"/>
    </row>
    <row r="12" spans="7:11" x14ac:dyDescent="0.3">
      <c r="G12" s="2"/>
    </row>
    <row r="13" spans="7:11" x14ac:dyDescent="0.3">
      <c r="G13" s="1"/>
      <c r="H13" s="1" t="s">
        <v>49</v>
      </c>
      <c r="I13" t="s">
        <v>50</v>
      </c>
      <c r="J13" t="s">
        <v>51</v>
      </c>
      <c r="K13" t="s">
        <v>52</v>
      </c>
    </row>
    <row r="14" spans="7:11" x14ac:dyDescent="0.3">
      <c r="G14" s="1" t="s">
        <v>2</v>
      </c>
      <c r="H14" s="1">
        <v>0.105</v>
      </c>
      <c r="I14">
        <v>20</v>
      </c>
      <c r="J14">
        <f>2*I14*PI()</f>
        <v>125.66370614359172</v>
      </c>
      <c r="K14">
        <f>J14*(180/PI())</f>
        <v>7200</v>
      </c>
    </row>
    <row r="15" spans="7:11" x14ac:dyDescent="0.3">
      <c r="G15" s="1" t="s">
        <v>8</v>
      </c>
      <c r="H15" s="1">
        <v>0.12</v>
      </c>
      <c r="I15">
        <v>6</v>
      </c>
      <c r="J15">
        <f t="shared" ref="J15:J17" si="0">2*I15*PI()</f>
        <v>37.699111843077517</v>
      </c>
      <c r="K15">
        <f t="shared" ref="K15:K17" si="1">J15*(180/PI())</f>
        <v>2160</v>
      </c>
    </row>
    <row r="16" spans="7:11" x14ac:dyDescent="0.3">
      <c r="G16" s="1" t="s">
        <v>1</v>
      </c>
      <c r="H16" s="1">
        <v>0.11</v>
      </c>
      <c r="I16">
        <v>8</v>
      </c>
      <c r="J16">
        <f t="shared" si="0"/>
        <v>50.26548245743669</v>
      </c>
      <c r="K16">
        <f t="shared" si="1"/>
        <v>2880</v>
      </c>
    </row>
    <row r="17" spans="7:11" x14ac:dyDescent="0.3">
      <c r="G17" s="1" t="s">
        <v>0</v>
      </c>
      <c r="H17" s="1">
        <v>9.2999999999999999E-2</v>
      </c>
      <c r="I17">
        <v>18</v>
      </c>
      <c r="J17">
        <f t="shared" si="0"/>
        <v>113.09733552923255</v>
      </c>
      <c r="K17">
        <f t="shared" si="1"/>
        <v>6480</v>
      </c>
    </row>
    <row r="18" spans="7:11" x14ac:dyDescent="0.3">
      <c r="G18" s="2"/>
    </row>
    <row r="19" spans="7:11" x14ac:dyDescent="0.3">
      <c r="G1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62D5-BA28-4517-BF57-59476773BA04}">
  <dimension ref="G1:I24"/>
  <sheetViews>
    <sheetView workbookViewId="0">
      <selection activeCell="G3" sqref="G3:I20"/>
    </sheetView>
  </sheetViews>
  <sheetFormatPr defaultRowHeight="14.4" x14ac:dyDescent="0.3"/>
  <cols>
    <col min="7" max="7" width="17.88671875" customWidth="1"/>
    <col min="8" max="8" width="18.88671875" customWidth="1"/>
    <col min="9" max="9" width="22.6640625" customWidth="1"/>
  </cols>
  <sheetData>
    <row r="1" spans="7:9" x14ac:dyDescent="0.3">
      <c r="G1" s="2"/>
    </row>
    <row r="2" spans="7:9" x14ac:dyDescent="0.3">
      <c r="G2" s="2"/>
    </row>
    <row r="3" spans="7:9" x14ac:dyDescent="0.3">
      <c r="G3" s="4" t="s">
        <v>41</v>
      </c>
      <c r="H3" s="12" t="s">
        <v>43</v>
      </c>
      <c r="I3" s="12" t="s">
        <v>42</v>
      </c>
    </row>
    <row r="4" spans="7:9" ht="43.2" x14ac:dyDescent="0.3">
      <c r="G4" s="4" t="s">
        <v>44</v>
      </c>
      <c r="H4" s="13" t="s">
        <v>63</v>
      </c>
      <c r="I4" s="14" t="s">
        <v>48</v>
      </c>
    </row>
    <row r="5" spans="7:9" ht="28.8" x14ac:dyDescent="0.3">
      <c r="G5" s="4" t="s">
        <v>45</v>
      </c>
      <c r="H5" s="14" t="s">
        <v>46</v>
      </c>
      <c r="I5" s="14" t="s">
        <v>46</v>
      </c>
    </row>
    <row r="6" spans="7:9" ht="28.8" x14ac:dyDescent="0.3">
      <c r="G6" s="4" t="s">
        <v>47</v>
      </c>
      <c r="H6" s="14" t="s">
        <v>23</v>
      </c>
      <c r="I6" s="14" t="s">
        <v>23</v>
      </c>
    </row>
    <row r="7" spans="7:9" ht="28.8" x14ac:dyDescent="0.3">
      <c r="G7" s="4" t="s">
        <v>61</v>
      </c>
      <c r="H7" s="14" t="s">
        <v>62</v>
      </c>
      <c r="I7" s="14" t="s">
        <v>70</v>
      </c>
    </row>
    <row r="8" spans="7:9" x14ac:dyDescent="0.3">
      <c r="G8" s="4" t="s">
        <v>18</v>
      </c>
      <c r="H8" s="14" t="s">
        <v>64</v>
      </c>
      <c r="I8" s="14" t="s">
        <v>69</v>
      </c>
    </row>
    <row r="9" spans="7:9" x14ac:dyDescent="0.3">
      <c r="G9" s="4" t="s">
        <v>65</v>
      </c>
      <c r="H9" s="14" t="s">
        <v>66</v>
      </c>
      <c r="I9" s="14" t="s">
        <v>82</v>
      </c>
    </row>
    <row r="10" spans="7:9" x14ac:dyDescent="0.3">
      <c r="G10" s="6" t="s">
        <v>71</v>
      </c>
      <c r="H10" s="7"/>
      <c r="I10" s="8"/>
    </row>
    <row r="11" spans="7:9" x14ac:dyDescent="0.3">
      <c r="G11" s="4" t="s">
        <v>36</v>
      </c>
      <c r="H11" s="14" t="s">
        <v>40</v>
      </c>
      <c r="I11" s="14" t="s">
        <v>40</v>
      </c>
    </row>
    <row r="12" spans="7:9" x14ac:dyDescent="0.3">
      <c r="G12" s="4" t="s">
        <v>37</v>
      </c>
      <c r="H12" s="14" t="s">
        <v>72</v>
      </c>
      <c r="I12" s="14" t="s">
        <v>38</v>
      </c>
    </row>
    <row r="13" spans="7:9" ht="18" customHeight="1" x14ac:dyDescent="0.3">
      <c r="G13" s="6" t="s">
        <v>73</v>
      </c>
      <c r="H13" s="7"/>
      <c r="I13" s="8"/>
    </row>
    <row r="14" spans="7:9" ht="28.8" x14ac:dyDescent="0.3">
      <c r="G14" s="4" t="s">
        <v>74</v>
      </c>
      <c r="H14" s="13" t="s">
        <v>77</v>
      </c>
      <c r="I14" s="13" t="s">
        <v>77</v>
      </c>
    </row>
    <row r="15" spans="7:9" x14ac:dyDescent="0.3">
      <c r="G15" s="4" t="s">
        <v>75</v>
      </c>
      <c r="H15" s="4" t="s">
        <v>76</v>
      </c>
      <c r="I15" s="13" t="s">
        <v>77</v>
      </c>
    </row>
    <row r="16" spans="7:9" x14ac:dyDescent="0.3">
      <c r="G16" s="4" t="s">
        <v>78</v>
      </c>
      <c r="H16" s="1"/>
      <c r="I16" s="1"/>
    </row>
    <row r="17" spans="7:9" x14ac:dyDescent="0.3">
      <c r="G17" s="4" t="s">
        <v>55</v>
      </c>
      <c r="H17" s="14" t="s">
        <v>79</v>
      </c>
      <c r="I17" s="14" t="s">
        <v>81</v>
      </c>
    </row>
    <row r="18" spans="7:9" x14ac:dyDescent="0.3">
      <c r="G18" s="4" t="s">
        <v>56</v>
      </c>
      <c r="H18" s="14" t="s">
        <v>59</v>
      </c>
      <c r="I18" s="14" t="s">
        <v>80</v>
      </c>
    </row>
    <row r="19" spans="7:9" x14ac:dyDescent="0.3">
      <c r="G19" s="6" t="s">
        <v>67</v>
      </c>
      <c r="H19" s="7"/>
      <c r="I19" s="8"/>
    </row>
    <row r="20" spans="7:9" x14ac:dyDescent="0.3">
      <c r="G20" s="4"/>
      <c r="H20" s="14" t="s">
        <v>68</v>
      </c>
      <c r="I20" s="14" t="s">
        <v>68</v>
      </c>
    </row>
    <row r="22" spans="7:9" x14ac:dyDescent="0.3">
      <c r="G22" s="2"/>
      <c r="H22" s="11"/>
      <c r="I22" s="11"/>
    </row>
    <row r="23" spans="7:9" x14ac:dyDescent="0.3">
      <c r="G23" s="2"/>
      <c r="H23" s="11"/>
      <c r="I23" s="11"/>
    </row>
    <row r="24" spans="7:9" x14ac:dyDescent="0.3">
      <c r="G24" s="2"/>
    </row>
  </sheetData>
  <mergeCells count="3">
    <mergeCell ref="G13:I13"/>
    <mergeCell ref="G10:I10"/>
    <mergeCell ref="G19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A052-D6A5-48C3-B399-D28155C36145}">
  <dimension ref="C4:E17"/>
  <sheetViews>
    <sheetView tabSelected="1" workbookViewId="0">
      <selection activeCell="K14" sqref="K14"/>
    </sheetView>
  </sheetViews>
  <sheetFormatPr defaultRowHeight="14.4" x14ac:dyDescent="0.3"/>
  <cols>
    <col min="3" max="3" width="17.6640625" customWidth="1"/>
    <col min="4" max="4" width="25.21875" customWidth="1"/>
    <col min="5" max="5" width="22.77734375" customWidth="1"/>
  </cols>
  <sheetData>
    <row r="4" spans="3:5" x14ac:dyDescent="0.3">
      <c r="C4" s="4"/>
      <c r="D4" s="4" t="s">
        <v>83</v>
      </c>
      <c r="E4" s="4" t="s">
        <v>108</v>
      </c>
    </row>
    <row r="5" spans="3:5" ht="28.8" x14ac:dyDescent="0.3">
      <c r="C5" s="4" t="s">
        <v>84</v>
      </c>
      <c r="D5" s="4" t="s">
        <v>85</v>
      </c>
      <c r="E5" s="4" t="s">
        <v>86</v>
      </c>
    </row>
    <row r="6" spans="3:5" x14ac:dyDescent="0.3">
      <c r="C6" s="4" t="s">
        <v>87</v>
      </c>
      <c r="D6" s="4" t="s">
        <v>88</v>
      </c>
      <c r="E6" s="4" t="s">
        <v>89</v>
      </c>
    </row>
    <row r="7" spans="3:5" x14ac:dyDescent="0.3">
      <c r="C7" s="4" t="s">
        <v>90</v>
      </c>
      <c r="D7" s="4" t="s">
        <v>91</v>
      </c>
      <c r="E7" s="4" t="s">
        <v>92</v>
      </c>
    </row>
    <row r="8" spans="3:5" x14ac:dyDescent="0.3">
      <c r="C8" s="4" t="s">
        <v>93</v>
      </c>
      <c r="D8" s="4" t="s">
        <v>109</v>
      </c>
      <c r="E8" s="4" t="s">
        <v>94</v>
      </c>
    </row>
    <row r="9" spans="3:5" x14ac:dyDescent="0.3">
      <c r="C9" s="5" t="s">
        <v>95</v>
      </c>
      <c r="D9" s="5"/>
      <c r="E9" s="5"/>
    </row>
    <row r="10" spans="3:5" x14ac:dyDescent="0.3">
      <c r="C10" s="4" t="s">
        <v>96</v>
      </c>
      <c r="D10" s="4" t="s">
        <v>97</v>
      </c>
      <c r="E10" s="4" t="s">
        <v>76</v>
      </c>
    </row>
    <row r="11" spans="3:5" ht="28.8" x14ac:dyDescent="0.3">
      <c r="C11" s="4" t="s">
        <v>98</v>
      </c>
      <c r="D11" s="4" t="s">
        <v>99</v>
      </c>
      <c r="E11" s="4" t="s">
        <v>100</v>
      </c>
    </row>
    <row r="12" spans="3:5" x14ac:dyDescent="0.3">
      <c r="C12" s="4" t="s">
        <v>101</v>
      </c>
      <c r="D12" s="4">
        <v>26</v>
      </c>
      <c r="E12" s="4"/>
    </row>
    <row r="13" spans="3:5" ht="43.2" x14ac:dyDescent="0.3">
      <c r="C13" s="4" t="s">
        <v>35</v>
      </c>
      <c r="D13" s="4" t="s">
        <v>102</v>
      </c>
      <c r="E13" s="4" t="s">
        <v>103</v>
      </c>
    </row>
    <row r="14" spans="3:5" ht="28.8" customHeight="1" x14ac:dyDescent="0.3">
      <c r="C14" s="5" t="s">
        <v>104</v>
      </c>
      <c r="D14" s="5"/>
      <c r="E14" s="5"/>
    </row>
    <row r="15" spans="3:5" x14ac:dyDescent="0.3">
      <c r="C15" s="4"/>
      <c r="D15" s="4"/>
      <c r="E15" s="4" t="s">
        <v>105</v>
      </c>
    </row>
    <row r="16" spans="3:5" x14ac:dyDescent="0.3">
      <c r="C16" s="4"/>
      <c r="D16" s="4"/>
      <c r="E16" s="4" t="s">
        <v>106</v>
      </c>
    </row>
    <row r="17" spans="3:5" x14ac:dyDescent="0.3">
      <c r="C17" s="4"/>
      <c r="D17" s="4"/>
      <c r="E17" s="4" t="s">
        <v>107</v>
      </c>
    </row>
  </sheetData>
  <mergeCells count="2">
    <mergeCell ref="C9:E9"/>
    <mergeCell ref="C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Wymagania</vt:lpstr>
      <vt:lpstr>akcelerometr</vt:lpstr>
      <vt:lpstr>Zyroskop</vt:lpstr>
      <vt:lpstr>zyros_porow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Mamok</dc:creator>
  <cp:lastModifiedBy>Szymon Mamok</cp:lastModifiedBy>
  <dcterms:created xsi:type="dcterms:W3CDTF">2025-10-06T10:17:26Z</dcterms:created>
  <dcterms:modified xsi:type="dcterms:W3CDTF">2025-10-07T11:51:15Z</dcterms:modified>
</cp:coreProperties>
</file>